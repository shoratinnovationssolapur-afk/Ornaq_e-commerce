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RNAQ\GST BILLING\"/>
    </mc:Choice>
  </mc:AlternateContent>
  <bookViews>
    <workbookView xWindow="0" yWindow="0" windowWidth="23040" windowHeight="9936" activeTab="3"/>
  </bookViews>
  <sheets>
    <sheet name="SAREE" sheetId="1" r:id="rId1"/>
    <sheet name="JWELLERY" sheetId="5" r:id="rId2"/>
    <sheet name="SALE SHEET" sheetId="3" r:id="rId3"/>
    <sheet name="SAREE SALE " sheetId="6" r:id="rId4"/>
    <sheet name="JWELLARY SALE" sheetId="7" r:id="rId5"/>
    <sheet name="Sheet3" sheetId="8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6" l="1"/>
  <c r="J7" i="6"/>
  <c r="J8" i="6"/>
  <c r="J9" i="6"/>
  <c r="J10" i="6"/>
  <c r="J11" i="6"/>
  <c r="J12" i="6"/>
  <c r="J13" i="6"/>
  <c r="J14" i="6"/>
  <c r="J15" i="6"/>
  <c r="J16" i="6"/>
  <c r="J17" i="6"/>
  <c r="J18" i="6"/>
  <c r="J5" i="6"/>
  <c r="E33" i="5"/>
  <c r="D33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33" i="5" s="1"/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D33" i="1"/>
  <c r="K5" i="3" l="1"/>
  <c r="E33" i="1" l="1"/>
  <c r="H17" i="1"/>
  <c r="H33" i="1" l="1"/>
</calcChain>
</file>

<file path=xl/sharedStrings.xml><?xml version="1.0" encoding="utf-8"?>
<sst xmlns="http://schemas.openxmlformats.org/spreadsheetml/2006/main" count="159" uniqueCount="79">
  <si>
    <t>NA</t>
  </si>
  <si>
    <t>HSN/SAC</t>
  </si>
  <si>
    <t>E.&amp; O.E.</t>
  </si>
  <si>
    <t xml:space="preserve">Total </t>
  </si>
  <si>
    <t>ORNAQ</t>
  </si>
  <si>
    <t>FOR ORNAQ</t>
  </si>
  <si>
    <t>No</t>
  </si>
  <si>
    <t xml:space="preserve">Date </t>
  </si>
  <si>
    <t>Inv No</t>
  </si>
  <si>
    <t xml:space="preserve">Name </t>
  </si>
  <si>
    <t>GSTIN</t>
  </si>
  <si>
    <t>Basic</t>
  </si>
  <si>
    <t>HSN</t>
  </si>
  <si>
    <t>QTY</t>
  </si>
  <si>
    <t xml:space="preserve">SALE </t>
  </si>
  <si>
    <t>27.05.2026</t>
  </si>
  <si>
    <t xml:space="preserve">SUDAM TULSHIDAS RAVALE </t>
  </si>
  <si>
    <t>SUPPLIER`S REF.</t>
  </si>
  <si>
    <t>OTHER REFERENCE :</t>
  </si>
  <si>
    <t>DATED</t>
  </si>
  <si>
    <t>BUYER`S ORDER NO.</t>
  </si>
  <si>
    <t>DISPATCH  NUMBER.</t>
  </si>
  <si>
    <t>DISPATCH THROUGH</t>
  </si>
  <si>
    <t>SR. No.</t>
  </si>
  <si>
    <t>DISCRIPTION OF GOODS</t>
  </si>
  <si>
    <t>QUANTITY</t>
  </si>
  <si>
    <t>RATE</t>
  </si>
  <si>
    <t>PER</t>
  </si>
  <si>
    <t>AMOUNT</t>
  </si>
  <si>
    <t>AUTHORISED SIGNATORY</t>
  </si>
  <si>
    <t>DECLERATION:</t>
  </si>
  <si>
    <t>DATED.</t>
  </si>
  <si>
    <t xml:space="preserve">BY TRACON </t>
  </si>
  <si>
    <t>TERMS OF DELIVERY:</t>
  </si>
  <si>
    <t xml:space="preserve">DESTINATION CITY </t>
  </si>
  <si>
    <t>AHILYANAGAR</t>
  </si>
  <si>
    <t>FANCY BANGLES</t>
  </si>
  <si>
    <r>
      <rPr>
        <b/>
        <sz val="9"/>
        <color theme="1"/>
        <rFont val="Calibri"/>
        <family val="2"/>
        <scheme val="minor"/>
      </rPr>
      <t>GSTIN/UIN</t>
    </r>
    <r>
      <rPr>
        <sz val="9"/>
        <color theme="1"/>
        <rFont val="Calibri"/>
        <family val="2"/>
        <scheme val="minor"/>
      </rPr>
      <t xml:space="preserve"> :</t>
    </r>
    <r>
      <rPr>
        <b/>
        <sz val="9"/>
        <color theme="1"/>
        <rFont val="Calibri"/>
        <family val="2"/>
        <scheme val="minor"/>
      </rPr>
      <t xml:space="preserve">  </t>
    </r>
    <r>
      <rPr>
        <sz val="9"/>
        <color theme="1"/>
        <rFont val="Calibri"/>
        <family val="2"/>
        <scheme val="minor"/>
      </rPr>
      <t>NA</t>
    </r>
  </si>
  <si>
    <t>TAX INVOICE</t>
  </si>
  <si>
    <t>STATE NAME  : MAHARASTRA ,  CODE : 27 ,    CODE : 27</t>
  </si>
  <si>
    <t>FANCY SAREE</t>
  </si>
  <si>
    <t xml:space="preserve">FREE SHIPING ONLINE </t>
  </si>
  <si>
    <t>DESTINATION: BUYER`S ADDRESS</t>
  </si>
  <si>
    <t>Rs .ONE THOUSAND FIFTY Only/-</t>
  </si>
  <si>
    <t>AHILYANAGAR - KALYAN ROAD,  AHILYANAGAR. PIN-414001.</t>
  </si>
  <si>
    <t>MOBILE NUMBER: 9860536598</t>
  </si>
  <si>
    <t xml:space="preserve">SHIPING ADDRESS -  YASHWANT, JIJAUNAGAR,  </t>
  </si>
  <si>
    <t xml:space="preserve">NAGAR - KALYAN ROAD, AHILYNAGAR, PINCODE - 414001  </t>
  </si>
  <si>
    <t>THIS IS COMPUTER GENERATED INVOICE AND DOES NOT REQUIRE PHYSICAL SIGNATURE.</t>
  </si>
  <si>
    <t xml:space="preserve"> </t>
  </si>
  <si>
    <t>Mandatory Parcel Opening Video before opening the package.</t>
  </si>
  <si>
    <t>For booking ,Refund, Return &amp; Replacement Policy and Terms and Conditions.</t>
  </si>
  <si>
    <t>01.06.2026</t>
  </si>
  <si>
    <t>DELIVERY NOTE:-</t>
  </si>
  <si>
    <t xml:space="preserve"> DATE- 01.06.2026</t>
  </si>
  <si>
    <t>EMAIL ADDRESS : ravalesudam@gmail.com</t>
  </si>
  <si>
    <t>NAME  -   SUDAM TULSHIDAS RAVALE</t>
  </si>
  <si>
    <t xml:space="preserve">TOTAL AMOUNT CHARGEBLE  IN RUPEES  (IN WORDS)  :- </t>
  </si>
  <si>
    <t xml:space="preserve">GRAND TOTAL  INCLUDING GST </t>
  </si>
  <si>
    <t>GST</t>
  </si>
  <si>
    <t>DELEVERY NOTE: ONLINE</t>
  </si>
  <si>
    <t>MODE OF PAYMENT: ONLINE</t>
  </si>
  <si>
    <t>We declare that this invoice shows the actual price of the goods described and that all particulars are true and correct.</t>
  </si>
  <si>
    <t>FREE SHIPING</t>
  </si>
  <si>
    <t>*Subject to Ahilyanagar jurisdiction only.</t>
  </si>
  <si>
    <t>GSTIN/UIN : 27ABHPR0392Q1ZX     WEBSITE : https://ornaq.in</t>
  </si>
  <si>
    <t xml:space="preserve">STATE NAME : MAHARASTRA, CODE : 27 CODE : 27 </t>
  </si>
  <si>
    <t>INVOICE NO.</t>
  </si>
  <si>
    <t>INV202606 - 1</t>
  </si>
  <si>
    <t>Tax 5%</t>
  </si>
  <si>
    <t>Tax 3%</t>
  </si>
  <si>
    <t>BUYER`S DETAIL`S / SHIPING ADDRESS</t>
  </si>
  <si>
    <t>SUDAMA BUILDING, SR.NO.8, PLOT NO. 58, SHRIKRUSHNANAGAR,</t>
  </si>
  <si>
    <t>MAHARASTRA,  MOBILE : 9822937198,  Email:myornaq@gmail.com</t>
  </si>
  <si>
    <t>PROPERITORSHIP`S  PAN : ABHPR0392Q ,    HELPLINE CALL US - 9822937198,  ... EVERY CUSTOMER LIKE OUR FAMILY...</t>
  </si>
  <si>
    <t xml:space="preserve"> Visite Our  Website : https://ornaq.in                         Visit Again…..                               </t>
  </si>
  <si>
    <t>INV202606 - 2</t>
  </si>
  <si>
    <t>27.05.2027</t>
  </si>
  <si>
    <t xml:space="preserve">SAREE SALE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</si>
</sst>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rgb="FF555555"/>
      <name val="Arial"/>
      <family val="2"/>
    </font>
    <font>
      <sz val="9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35">
    <xf numFmtId="0" fontId="0" fillId="0" borderId="0" xfId="0"/>
    <xf numFmtId="0" fontId="5" fillId="0" borderId="1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0" fillId="0" borderId="10" xfId="0" applyBorder="1"/>
    <xf numFmtId="2" fontId="0" fillId="0" borderId="10" xfId="0" applyNumberFormat="1" applyBorder="1"/>
    <xf numFmtId="9" fontId="0" fillId="0" borderId="10" xfId="0" applyNumberFormat="1" applyBorder="1" applyAlignment="1">
      <alignment horizontal="center"/>
    </xf>
    <xf numFmtId="2" fontId="0" fillId="0" borderId="0" xfId="0" applyNumberFormat="1"/>
    <xf numFmtId="0" fontId="0" fillId="0" borderId="9" xfId="0" applyBorder="1"/>
    <xf numFmtId="0" fontId="1" fillId="0" borderId="9" xfId="0" applyFont="1" applyBorder="1" applyAlignment="1">
      <alignment horizontal="right"/>
    </xf>
    <xf numFmtId="2" fontId="1" fillId="0" borderId="9" xfId="0" applyNumberFormat="1" applyFon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right" vertical="top"/>
    </xf>
    <xf numFmtId="0" fontId="5" fillId="0" borderId="4" xfId="0" applyFont="1" applyBorder="1"/>
    <xf numFmtId="0" fontId="6" fillId="0" borderId="4" xfId="0" applyFont="1" applyBorder="1" applyAlignment="1">
      <alignment vertical="top"/>
    </xf>
    <xf numFmtId="0" fontId="0" fillId="0" borderId="6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5" fillId="0" borderId="8" xfId="0" applyFont="1" applyBorder="1" applyAlignment="1">
      <alignment horizontal="left"/>
    </xf>
    <xf numFmtId="43" fontId="3" fillId="0" borderId="4" xfId="1" applyFont="1" applyBorder="1" applyAlignment="1"/>
    <xf numFmtId="43" fontId="3" fillId="0" borderId="0" xfId="1" applyFont="1" applyBorder="1" applyAlignment="1"/>
    <xf numFmtId="43" fontId="3" fillId="0" borderId="5" xfId="1" applyFont="1" applyBorder="1" applyAlignment="1"/>
    <xf numFmtId="0" fontId="5" fillId="0" borderId="12" xfId="0" applyFont="1" applyBorder="1" applyAlignment="1"/>
    <xf numFmtId="0" fontId="5" fillId="0" borderId="30" xfId="0" applyFont="1" applyBorder="1" applyAlignment="1"/>
    <xf numFmtId="0" fontId="5" fillId="0" borderId="11" xfId="0" applyFont="1" applyBorder="1" applyAlignment="1"/>
    <xf numFmtId="0" fontId="0" fillId="0" borderId="10" xfId="0" applyBorder="1" applyAlignment="1">
      <alignment horizontal="left" vertical="top" wrapText="1"/>
    </xf>
    <xf numFmtId="0" fontId="11" fillId="0" borderId="0" xfId="0" applyFont="1" applyAlignment="1">
      <alignment vertical="center"/>
    </xf>
    <xf numFmtId="0" fontId="6" fillId="0" borderId="0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5" fillId="0" borderId="0" xfId="0" applyFont="1"/>
    <xf numFmtId="0" fontId="12" fillId="0" borderId="0" xfId="0" applyFont="1" applyAlignment="1">
      <alignment horizontal="center" vertical="center" wrapText="1"/>
    </xf>
    <xf numFmtId="0" fontId="5" fillId="0" borderId="4" xfId="0" applyFont="1" applyBorder="1" applyAlignment="1"/>
    <xf numFmtId="0" fontId="5" fillId="0" borderId="0" xfId="0" applyFont="1" applyBorder="1" applyAlignment="1"/>
    <xf numFmtId="0" fontId="5" fillId="0" borderId="5" xfId="0" applyFont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0" fillId="0" borderId="5" xfId="0" applyFont="1" applyBorder="1" applyAlignment="1"/>
    <xf numFmtId="0" fontId="1" fillId="0" borderId="10" xfId="0" applyFont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 vertical="top" wrapText="1"/>
    </xf>
    <xf numFmtId="0" fontId="5" fillId="0" borderId="6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164" fontId="4" fillId="0" borderId="6" xfId="0" quotePrefix="1" applyNumberFormat="1" applyFont="1" applyBorder="1" applyAlignment="1">
      <alignment horizontal="left"/>
    </xf>
    <xf numFmtId="164" fontId="4" fillId="0" borderId="8" xfId="0" applyNumberFormat="1" applyFont="1" applyBorder="1" applyAlignment="1">
      <alignment horizontal="left"/>
    </xf>
    <xf numFmtId="164" fontId="4" fillId="0" borderId="7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9" fontId="0" fillId="0" borderId="13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8" zoomScaleNormal="100" workbookViewId="0">
      <selection activeCell="G16" sqref="G16"/>
    </sheetView>
  </sheetViews>
  <sheetFormatPr defaultRowHeight="14.4" x14ac:dyDescent="0.3"/>
  <cols>
    <col min="1" max="1" width="4.44140625" customWidth="1"/>
    <col min="2" max="2" width="34.88671875" customWidth="1"/>
    <col min="3" max="3" width="12.44140625" customWidth="1"/>
    <col min="4" max="4" width="8.88671875" customWidth="1"/>
    <col min="5" max="5" width="11.109375" customWidth="1"/>
    <col min="6" max="6" width="7.44140625" customWidth="1"/>
    <col min="7" max="7" width="9.33203125" customWidth="1"/>
    <col min="8" max="8" width="8.88671875" customWidth="1"/>
  </cols>
  <sheetData>
    <row r="1" spans="1:8" ht="26.4" customHeight="1" x14ac:dyDescent="0.4">
      <c r="A1" s="120" t="s">
        <v>38</v>
      </c>
      <c r="B1" s="121"/>
      <c r="C1" s="121"/>
      <c r="D1" s="121"/>
      <c r="E1" s="121"/>
      <c r="F1" s="121"/>
      <c r="G1" s="121"/>
      <c r="H1" s="122"/>
    </row>
    <row r="2" spans="1:8" ht="25.8" customHeight="1" x14ac:dyDescent="0.4">
      <c r="A2" s="120" t="s">
        <v>4</v>
      </c>
      <c r="B2" s="121"/>
      <c r="C2" s="122"/>
      <c r="D2" s="123" t="s">
        <v>67</v>
      </c>
      <c r="E2" s="124"/>
      <c r="F2" s="125" t="s">
        <v>31</v>
      </c>
      <c r="G2" s="126"/>
      <c r="H2" s="127"/>
    </row>
    <row r="3" spans="1:8" ht="18" customHeight="1" x14ac:dyDescent="0.3">
      <c r="A3" s="102" t="s">
        <v>72</v>
      </c>
      <c r="B3" s="103"/>
      <c r="C3" s="104"/>
      <c r="D3" s="106" t="s">
        <v>68</v>
      </c>
      <c r="E3" s="108"/>
      <c r="F3" s="96" t="s">
        <v>52</v>
      </c>
      <c r="G3" s="97"/>
      <c r="H3" s="98"/>
    </row>
    <row r="4" spans="1:8" ht="18" customHeight="1" x14ac:dyDescent="0.3">
      <c r="A4" s="102" t="s">
        <v>44</v>
      </c>
      <c r="B4" s="103"/>
      <c r="C4" s="104"/>
      <c r="D4" s="88" t="s">
        <v>60</v>
      </c>
      <c r="E4" s="89"/>
      <c r="F4" s="88" t="s">
        <v>61</v>
      </c>
      <c r="G4" s="90"/>
      <c r="H4" s="89"/>
    </row>
    <row r="5" spans="1:8" ht="18" customHeight="1" x14ac:dyDescent="0.3">
      <c r="A5" s="102" t="s">
        <v>73</v>
      </c>
      <c r="B5" s="103"/>
      <c r="C5" s="104"/>
      <c r="D5" s="94" t="s">
        <v>49</v>
      </c>
      <c r="E5" s="105"/>
      <c r="F5" s="106"/>
      <c r="G5" s="107"/>
      <c r="H5" s="108"/>
    </row>
    <row r="6" spans="1:8" ht="18" customHeight="1" x14ac:dyDescent="0.3">
      <c r="A6" s="109" t="s">
        <v>65</v>
      </c>
      <c r="B6" s="110"/>
      <c r="C6" s="111"/>
      <c r="D6" s="1" t="s">
        <v>17</v>
      </c>
      <c r="E6" s="2"/>
      <c r="F6" s="112" t="s">
        <v>18</v>
      </c>
      <c r="G6" s="113"/>
      <c r="H6" s="114"/>
    </row>
    <row r="7" spans="1:8" ht="18" customHeight="1" x14ac:dyDescent="0.3">
      <c r="A7" s="85" t="s">
        <v>66</v>
      </c>
      <c r="B7" s="86"/>
      <c r="C7" s="87"/>
      <c r="D7" s="115"/>
      <c r="E7" s="116"/>
      <c r="F7" s="117"/>
      <c r="G7" s="118"/>
      <c r="H7" s="119"/>
    </row>
    <row r="8" spans="1:8" ht="18" customHeight="1" x14ac:dyDescent="0.3">
      <c r="A8" s="99" t="s">
        <v>71</v>
      </c>
      <c r="B8" s="100"/>
      <c r="C8" s="101"/>
      <c r="D8" s="88" t="s">
        <v>20</v>
      </c>
      <c r="E8" s="90"/>
      <c r="F8" s="88" t="s">
        <v>19</v>
      </c>
      <c r="G8" s="90"/>
      <c r="H8" s="89"/>
    </row>
    <row r="9" spans="1:8" ht="19.2" customHeight="1" x14ac:dyDescent="0.3">
      <c r="A9" s="91" t="s">
        <v>56</v>
      </c>
      <c r="B9" s="92"/>
      <c r="C9" s="93"/>
      <c r="D9" s="94">
        <v>1</v>
      </c>
      <c r="E9" s="95"/>
      <c r="F9" s="96" t="s">
        <v>52</v>
      </c>
      <c r="G9" s="97"/>
      <c r="H9" s="98"/>
    </row>
    <row r="10" spans="1:8" ht="19.8" customHeight="1" x14ac:dyDescent="0.3">
      <c r="A10" s="80" t="s">
        <v>46</v>
      </c>
      <c r="B10" s="81"/>
      <c r="C10" s="82"/>
      <c r="D10" s="88" t="s">
        <v>21</v>
      </c>
      <c r="E10" s="89"/>
      <c r="F10" s="88" t="s">
        <v>53</v>
      </c>
      <c r="G10" s="90"/>
      <c r="H10" s="89"/>
    </row>
    <row r="11" spans="1:8" ht="21" customHeight="1" x14ac:dyDescent="0.3">
      <c r="A11" s="80" t="s">
        <v>47</v>
      </c>
      <c r="B11" s="81"/>
      <c r="C11" s="82"/>
      <c r="D11" s="83" t="s">
        <v>0</v>
      </c>
      <c r="E11" s="84"/>
      <c r="F11" s="85" t="s">
        <v>54</v>
      </c>
      <c r="G11" s="86"/>
      <c r="H11" s="87"/>
    </row>
    <row r="12" spans="1:8" ht="22.8" customHeight="1" x14ac:dyDescent="0.3">
      <c r="A12" s="80" t="s">
        <v>45</v>
      </c>
      <c r="B12" s="81"/>
      <c r="C12" s="82"/>
      <c r="D12" s="88" t="s">
        <v>22</v>
      </c>
      <c r="E12" s="89"/>
      <c r="F12" s="88" t="s">
        <v>34</v>
      </c>
      <c r="G12" s="90"/>
      <c r="H12" s="89"/>
    </row>
    <row r="13" spans="1:8" ht="22.2" customHeight="1" x14ac:dyDescent="0.3">
      <c r="A13" s="80" t="s">
        <v>55</v>
      </c>
      <c r="B13" s="81"/>
      <c r="C13" s="82"/>
      <c r="D13" s="83" t="s">
        <v>32</v>
      </c>
      <c r="E13" s="84"/>
      <c r="F13" s="85" t="s">
        <v>35</v>
      </c>
      <c r="G13" s="86"/>
      <c r="H13" s="87"/>
    </row>
    <row r="14" spans="1:8" ht="18" customHeight="1" x14ac:dyDescent="0.3">
      <c r="A14" s="35" t="s">
        <v>37</v>
      </c>
      <c r="B14" s="36"/>
      <c r="C14" s="37"/>
      <c r="D14" s="20" t="s">
        <v>33</v>
      </c>
      <c r="E14" s="34"/>
      <c r="F14" s="18" t="s">
        <v>41</v>
      </c>
      <c r="G14" s="18"/>
      <c r="H14" s="19"/>
    </row>
    <row r="15" spans="1:8" ht="18" customHeight="1" x14ac:dyDescent="0.3">
      <c r="A15" s="35" t="s">
        <v>39</v>
      </c>
      <c r="B15" s="36"/>
      <c r="C15" s="37"/>
      <c r="D15" s="38" t="s">
        <v>42</v>
      </c>
      <c r="E15" s="39"/>
      <c r="F15" s="39"/>
      <c r="G15" s="39"/>
      <c r="H15" s="40"/>
    </row>
    <row r="16" spans="1:8" ht="30" customHeight="1" x14ac:dyDescent="0.3">
      <c r="A16" s="3" t="s">
        <v>23</v>
      </c>
      <c r="B16" s="4" t="s">
        <v>24</v>
      </c>
      <c r="C16" s="4" t="s">
        <v>1</v>
      </c>
      <c r="D16" s="4" t="s">
        <v>25</v>
      </c>
      <c r="E16" s="4" t="s">
        <v>26</v>
      </c>
      <c r="F16" s="4" t="s">
        <v>27</v>
      </c>
      <c r="G16" s="4" t="s">
        <v>59</v>
      </c>
      <c r="H16" s="4" t="s">
        <v>28</v>
      </c>
    </row>
    <row r="17" spans="1:11" ht="21.75" customHeight="1" x14ac:dyDescent="0.3">
      <c r="A17" s="5">
        <v>1</v>
      </c>
      <c r="B17" s="5" t="s">
        <v>40</v>
      </c>
      <c r="C17" s="5">
        <v>5407</v>
      </c>
      <c r="D17" s="6">
        <v>2</v>
      </c>
      <c r="E17" s="6">
        <v>970</v>
      </c>
      <c r="F17" s="7"/>
      <c r="G17" s="7"/>
      <c r="H17" s="6">
        <f>(D17*E17)</f>
        <v>1940</v>
      </c>
    </row>
    <row r="18" spans="1:11" ht="21.75" customHeight="1" x14ac:dyDescent="0.3">
      <c r="A18" s="5"/>
      <c r="B18" s="5"/>
      <c r="C18" s="5"/>
      <c r="D18" s="6">
        <v>0</v>
      </c>
      <c r="E18" s="6">
        <v>0</v>
      </c>
      <c r="F18" s="7"/>
      <c r="G18" s="7"/>
      <c r="H18" s="6">
        <f t="shared" ref="H18:H31" si="0">(D18*E18)</f>
        <v>0</v>
      </c>
    </row>
    <row r="19" spans="1:11" ht="21.75" customHeight="1" x14ac:dyDescent="0.3">
      <c r="A19" s="5"/>
      <c r="B19" s="5"/>
      <c r="C19" s="5"/>
      <c r="D19" s="6">
        <v>0</v>
      </c>
      <c r="E19" s="6">
        <v>0</v>
      </c>
      <c r="F19" s="7"/>
      <c r="G19" s="7"/>
      <c r="H19" s="6">
        <f t="shared" si="0"/>
        <v>0</v>
      </c>
    </row>
    <row r="20" spans="1:11" ht="21.75" customHeight="1" x14ac:dyDescent="0.3">
      <c r="A20" s="5"/>
      <c r="B20" s="5"/>
      <c r="C20" s="5"/>
      <c r="D20" s="6">
        <v>0</v>
      </c>
      <c r="E20" s="6">
        <v>0</v>
      </c>
      <c r="F20" s="7"/>
      <c r="G20" s="7"/>
      <c r="H20" s="6">
        <f t="shared" si="0"/>
        <v>0</v>
      </c>
    </row>
    <row r="21" spans="1:11" ht="21.75" customHeight="1" x14ac:dyDescent="0.3">
      <c r="A21" s="5"/>
      <c r="B21" s="5"/>
      <c r="C21" s="5"/>
      <c r="D21" s="6">
        <v>0</v>
      </c>
      <c r="E21" s="6">
        <v>0</v>
      </c>
      <c r="F21" s="7"/>
      <c r="G21" s="7"/>
      <c r="H21" s="6">
        <f t="shared" si="0"/>
        <v>0</v>
      </c>
    </row>
    <row r="22" spans="1:11" ht="21.75" customHeight="1" x14ac:dyDescent="0.3">
      <c r="A22" s="5"/>
      <c r="B22" s="79"/>
      <c r="C22" s="5"/>
      <c r="D22" s="6">
        <v>0</v>
      </c>
      <c r="E22" s="6">
        <v>0</v>
      </c>
      <c r="F22" s="7"/>
      <c r="G22" s="7"/>
      <c r="H22" s="6">
        <f t="shared" si="0"/>
        <v>0</v>
      </c>
    </row>
    <row r="23" spans="1:11" ht="15" customHeight="1" x14ac:dyDescent="0.3">
      <c r="A23" s="5"/>
      <c r="B23" s="79"/>
      <c r="C23" s="5"/>
      <c r="D23" s="6">
        <v>0</v>
      </c>
      <c r="E23" s="6">
        <v>0</v>
      </c>
      <c r="F23" s="7"/>
      <c r="G23" s="7"/>
      <c r="H23" s="6">
        <f t="shared" si="0"/>
        <v>0</v>
      </c>
    </row>
    <row r="24" spans="1:11" ht="15" customHeight="1" x14ac:dyDescent="0.3">
      <c r="A24" s="5"/>
      <c r="B24" s="41"/>
      <c r="C24" s="5"/>
      <c r="D24" s="6">
        <v>0</v>
      </c>
      <c r="E24" s="6">
        <v>0</v>
      </c>
      <c r="F24" s="7"/>
      <c r="G24" s="7"/>
      <c r="H24" s="6">
        <f t="shared" si="0"/>
        <v>0</v>
      </c>
    </row>
    <row r="25" spans="1:11" ht="15" customHeight="1" x14ac:dyDescent="0.3">
      <c r="A25" s="5"/>
      <c r="B25" s="41"/>
      <c r="C25" s="5"/>
      <c r="D25" s="6">
        <v>0</v>
      </c>
      <c r="E25" s="6">
        <v>0</v>
      </c>
      <c r="F25" s="7"/>
      <c r="G25" s="7"/>
      <c r="H25" s="6">
        <f t="shared" si="0"/>
        <v>0</v>
      </c>
    </row>
    <row r="26" spans="1:11" ht="15" customHeight="1" x14ac:dyDescent="0.3">
      <c r="A26" s="5"/>
      <c r="B26" s="41"/>
      <c r="C26" s="5"/>
      <c r="D26" s="6">
        <v>0</v>
      </c>
      <c r="E26" s="6">
        <v>0</v>
      </c>
      <c r="F26" s="7"/>
      <c r="G26" s="7"/>
      <c r="H26" s="6">
        <f t="shared" si="0"/>
        <v>0</v>
      </c>
    </row>
    <row r="27" spans="1:11" ht="15" customHeight="1" x14ac:dyDescent="0.3">
      <c r="A27" s="5"/>
      <c r="B27" s="41"/>
      <c r="C27" s="5"/>
      <c r="D27" s="6">
        <v>0</v>
      </c>
      <c r="E27" s="6">
        <v>0</v>
      </c>
      <c r="F27" s="7"/>
      <c r="G27" s="7"/>
      <c r="H27" s="6">
        <f t="shared" si="0"/>
        <v>0</v>
      </c>
    </row>
    <row r="28" spans="1:11" ht="15" customHeight="1" x14ac:dyDescent="0.3">
      <c r="A28" s="5"/>
      <c r="B28" s="41"/>
      <c r="C28" s="5"/>
      <c r="D28" s="6">
        <v>0</v>
      </c>
      <c r="E28" s="6">
        <v>0</v>
      </c>
      <c r="F28" s="7"/>
      <c r="G28" s="7"/>
      <c r="H28" s="6">
        <f t="shared" si="0"/>
        <v>0</v>
      </c>
    </row>
    <row r="29" spans="1:11" ht="15" customHeight="1" x14ac:dyDescent="0.3">
      <c r="A29" s="5"/>
      <c r="B29" s="41"/>
      <c r="C29" s="5"/>
      <c r="D29" s="6">
        <v>0</v>
      </c>
      <c r="E29" s="6">
        <v>0</v>
      </c>
      <c r="F29" s="7"/>
      <c r="G29" s="7"/>
      <c r="H29" s="6">
        <f t="shared" si="0"/>
        <v>0</v>
      </c>
    </row>
    <row r="30" spans="1:11" ht="15" customHeight="1" x14ac:dyDescent="0.3">
      <c r="A30" s="5"/>
      <c r="B30" s="41"/>
      <c r="C30" s="5"/>
      <c r="D30" s="6">
        <v>0</v>
      </c>
      <c r="E30" s="6">
        <v>0</v>
      </c>
      <c r="F30" s="7"/>
      <c r="G30" s="7"/>
      <c r="H30" s="6">
        <f t="shared" si="0"/>
        <v>0</v>
      </c>
    </row>
    <row r="31" spans="1:11" ht="18.75" customHeight="1" x14ac:dyDescent="0.3">
      <c r="A31" s="5"/>
      <c r="B31" s="5"/>
      <c r="C31" s="5"/>
      <c r="D31" s="6">
        <v>0</v>
      </c>
      <c r="E31" s="6">
        <v>0</v>
      </c>
      <c r="F31" s="7"/>
      <c r="G31" s="7"/>
      <c r="H31" s="6">
        <f t="shared" si="0"/>
        <v>0</v>
      </c>
    </row>
    <row r="32" spans="1:11" ht="19.5" customHeight="1" x14ac:dyDescent="0.3">
      <c r="A32" s="5"/>
      <c r="B32" s="53" t="s">
        <v>63</v>
      </c>
      <c r="C32" s="5"/>
      <c r="D32" s="5"/>
      <c r="E32" s="5"/>
      <c r="F32" s="5"/>
      <c r="G32" s="5"/>
      <c r="H32" s="6"/>
      <c r="K32" s="8"/>
    </row>
    <row r="33" spans="1:10" ht="16.5" customHeight="1" x14ac:dyDescent="0.3">
      <c r="A33" s="9"/>
      <c r="B33" s="10" t="s">
        <v>58</v>
      </c>
      <c r="C33" s="9"/>
      <c r="D33" s="11">
        <f>+D17</f>
        <v>2</v>
      </c>
      <c r="E33" s="11">
        <f>+E17</f>
        <v>970</v>
      </c>
      <c r="F33" s="12"/>
      <c r="G33" s="9"/>
      <c r="H33" s="11">
        <f>SUM(H17:H32)</f>
        <v>1940</v>
      </c>
      <c r="J33" s="8"/>
    </row>
    <row r="34" spans="1:10" ht="16.5" customHeight="1" x14ac:dyDescent="0.3">
      <c r="A34" s="77" t="s">
        <v>57</v>
      </c>
      <c r="B34" s="78"/>
      <c r="C34" s="78"/>
      <c r="D34" s="78"/>
      <c r="E34" s="78"/>
      <c r="F34" s="78"/>
      <c r="G34" s="78"/>
      <c r="H34" s="13" t="s">
        <v>2</v>
      </c>
    </row>
    <row r="35" spans="1:10" ht="20.25" customHeight="1" x14ac:dyDescent="0.3">
      <c r="A35" s="59" t="s">
        <v>43</v>
      </c>
      <c r="B35" s="60"/>
      <c r="C35" s="60"/>
      <c r="D35" s="60"/>
      <c r="E35" s="60"/>
      <c r="F35" s="60"/>
      <c r="G35" s="60"/>
      <c r="H35" s="61"/>
    </row>
    <row r="36" spans="1:10" ht="19.5" customHeight="1" x14ac:dyDescent="0.3">
      <c r="A36" s="62" t="s">
        <v>74</v>
      </c>
      <c r="B36" s="63"/>
      <c r="C36" s="63"/>
      <c r="D36" s="63"/>
      <c r="E36" s="63"/>
      <c r="F36" s="63"/>
      <c r="G36" s="63"/>
      <c r="H36" s="64"/>
    </row>
    <row r="37" spans="1:10" ht="11.4" customHeight="1" x14ac:dyDescent="0.3">
      <c r="A37" s="74" t="s">
        <v>30</v>
      </c>
      <c r="B37" s="75"/>
      <c r="C37" s="75"/>
      <c r="D37" s="75"/>
      <c r="E37" s="75"/>
      <c r="F37" s="75"/>
      <c r="G37" s="75"/>
      <c r="H37" s="76"/>
    </row>
    <row r="38" spans="1:10" s="45" customFormat="1" ht="13.8" x14ac:dyDescent="0.3">
      <c r="A38" s="47" t="s">
        <v>62</v>
      </c>
      <c r="B38" s="48"/>
      <c r="C38" s="48"/>
      <c r="D38" s="48"/>
      <c r="E38" s="48"/>
      <c r="F38" s="48"/>
      <c r="G38" s="48"/>
      <c r="H38" s="49"/>
    </row>
    <row r="39" spans="1:10" ht="16.8" customHeight="1" x14ac:dyDescent="0.3">
      <c r="A39" s="50" t="s">
        <v>64</v>
      </c>
      <c r="B39" s="51"/>
      <c r="C39" s="51"/>
      <c r="D39" s="51"/>
      <c r="E39" s="51"/>
      <c r="F39" s="51"/>
      <c r="G39" s="51"/>
      <c r="H39" s="52"/>
    </row>
    <row r="40" spans="1:10" ht="18" customHeight="1" x14ac:dyDescent="0.3">
      <c r="A40" s="14" t="s">
        <v>50</v>
      </c>
      <c r="E40" s="65" t="s">
        <v>5</v>
      </c>
      <c r="F40" s="66"/>
      <c r="G40" s="66"/>
      <c r="H40" s="67"/>
    </row>
    <row r="41" spans="1:10" ht="16.8" customHeight="1" x14ac:dyDescent="0.3">
      <c r="A41" s="15" t="s">
        <v>51</v>
      </c>
      <c r="B41" s="43"/>
      <c r="C41" s="43"/>
      <c r="D41" s="44"/>
      <c r="E41" s="68"/>
      <c r="F41" s="69"/>
      <c r="G41" s="69"/>
      <c r="H41" s="70"/>
    </row>
    <row r="42" spans="1:10" ht="14.25" customHeight="1" x14ac:dyDescent="0.3">
      <c r="A42" s="16" t="s">
        <v>75</v>
      </c>
      <c r="B42" s="17"/>
      <c r="C42" s="17"/>
      <c r="D42" s="17"/>
      <c r="E42" s="71" t="s">
        <v>29</v>
      </c>
      <c r="F42" s="72"/>
      <c r="G42" s="72"/>
      <c r="H42" s="73"/>
    </row>
    <row r="43" spans="1:10" ht="13.5" customHeight="1" x14ac:dyDescent="0.3">
      <c r="A43" s="58" t="s">
        <v>48</v>
      </c>
      <c r="B43" s="58"/>
      <c r="C43" s="58"/>
      <c r="D43" s="58"/>
      <c r="E43" s="58"/>
      <c r="F43" s="58"/>
      <c r="G43" s="58"/>
      <c r="H43" s="58"/>
    </row>
    <row r="45" spans="1:10" x14ac:dyDescent="0.3">
      <c r="A45" s="42"/>
      <c r="B45" s="45"/>
      <c r="C45" s="45"/>
      <c r="D45" s="45"/>
      <c r="E45" s="45"/>
      <c r="F45" s="45"/>
      <c r="G45" s="45"/>
    </row>
    <row r="46" spans="1:10" x14ac:dyDescent="0.3">
      <c r="B46" s="46"/>
    </row>
  </sheetData>
  <mergeCells count="45">
    <mergeCell ref="A1:H1"/>
    <mergeCell ref="A2:C2"/>
    <mergeCell ref="D2:E2"/>
    <mergeCell ref="F2:H2"/>
    <mergeCell ref="A3:C3"/>
    <mergeCell ref="D3:E3"/>
    <mergeCell ref="F3:H3"/>
    <mergeCell ref="A8:C8"/>
    <mergeCell ref="D8:E8"/>
    <mergeCell ref="F8:H8"/>
    <mergeCell ref="A4:C4"/>
    <mergeCell ref="D4:E4"/>
    <mergeCell ref="F4:H4"/>
    <mergeCell ref="A5:C5"/>
    <mergeCell ref="D5:E5"/>
    <mergeCell ref="F5:H5"/>
    <mergeCell ref="A6:C6"/>
    <mergeCell ref="F6:H6"/>
    <mergeCell ref="A7:C7"/>
    <mergeCell ref="D7:E7"/>
    <mergeCell ref="F7:H7"/>
    <mergeCell ref="A9:C9"/>
    <mergeCell ref="D9:E9"/>
    <mergeCell ref="F9:H9"/>
    <mergeCell ref="A10:C10"/>
    <mergeCell ref="D10:E10"/>
    <mergeCell ref="F10:H10"/>
    <mergeCell ref="A34:G34"/>
    <mergeCell ref="B22:B23"/>
    <mergeCell ref="A11:C11"/>
    <mergeCell ref="D11:E11"/>
    <mergeCell ref="F11:H11"/>
    <mergeCell ref="A12:C12"/>
    <mergeCell ref="D12:E12"/>
    <mergeCell ref="F12:H12"/>
    <mergeCell ref="A13:C13"/>
    <mergeCell ref="D13:E13"/>
    <mergeCell ref="F13:H13"/>
    <mergeCell ref="A43:H43"/>
    <mergeCell ref="A35:H35"/>
    <mergeCell ref="A36:H36"/>
    <mergeCell ref="E40:H40"/>
    <mergeCell ref="E41:H41"/>
    <mergeCell ref="E42:H42"/>
    <mergeCell ref="A37:H37"/>
  </mergeCells>
  <printOptions horizontalCentered="1" verticalCentered="1"/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opLeftCell="A16" workbookViewId="0">
      <selection activeCell="A35" sqref="A35:H35"/>
    </sheetView>
  </sheetViews>
  <sheetFormatPr defaultRowHeight="14.4" x14ac:dyDescent="0.3"/>
  <cols>
    <col min="1" max="1" width="4.44140625" customWidth="1"/>
    <col min="2" max="2" width="34.88671875" customWidth="1"/>
    <col min="3" max="3" width="12.44140625" customWidth="1"/>
    <col min="4" max="4" width="8.88671875" customWidth="1"/>
    <col min="5" max="5" width="11.109375" customWidth="1"/>
    <col min="6" max="6" width="7.44140625" customWidth="1"/>
    <col min="7" max="7" width="9.33203125" customWidth="1"/>
    <col min="8" max="8" width="8.88671875" customWidth="1"/>
  </cols>
  <sheetData>
    <row r="1" spans="1:8" ht="21" x14ac:dyDescent="0.4">
      <c r="A1" s="120" t="s">
        <v>38</v>
      </c>
      <c r="B1" s="121"/>
      <c r="C1" s="121"/>
      <c r="D1" s="121"/>
      <c r="E1" s="121"/>
      <c r="F1" s="121"/>
      <c r="G1" s="121"/>
      <c r="H1" s="122"/>
    </row>
    <row r="2" spans="1:8" ht="19.2" customHeight="1" x14ac:dyDescent="0.4">
      <c r="A2" s="120" t="s">
        <v>4</v>
      </c>
      <c r="B2" s="121"/>
      <c r="C2" s="122"/>
      <c r="D2" s="123" t="s">
        <v>67</v>
      </c>
      <c r="E2" s="124"/>
      <c r="F2" s="125" t="s">
        <v>31</v>
      </c>
      <c r="G2" s="126"/>
      <c r="H2" s="127"/>
    </row>
    <row r="3" spans="1:8" x14ac:dyDescent="0.3">
      <c r="A3" s="102" t="s">
        <v>72</v>
      </c>
      <c r="B3" s="103"/>
      <c r="C3" s="104"/>
      <c r="D3" s="106" t="s">
        <v>68</v>
      </c>
      <c r="E3" s="108"/>
      <c r="F3" s="96" t="s">
        <v>52</v>
      </c>
      <c r="G3" s="97"/>
      <c r="H3" s="98"/>
    </row>
    <row r="4" spans="1:8" x14ac:dyDescent="0.3">
      <c r="A4" s="102" t="s">
        <v>44</v>
      </c>
      <c r="B4" s="103"/>
      <c r="C4" s="104"/>
      <c r="D4" s="88" t="s">
        <v>60</v>
      </c>
      <c r="E4" s="89"/>
      <c r="F4" s="88" t="s">
        <v>61</v>
      </c>
      <c r="G4" s="90"/>
      <c r="H4" s="89"/>
    </row>
    <row r="5" spans="1:8" x14ac:dyDescent="0.3">
      <c r="A5" s="102" t="s">
        <v>73</v>
      </c>
      <c r="B5" s="103"/>
      <c r="C5" s="104"/>
      <c r="D5" s="94" t="s">
        <v>49</v>
      </c>
      <c r="E5" s="105"/>
      <c r="F5" s="106"/>
      <c r="G5" s="107"/>
      <c r="H5" s="108"/>
    </row>
    <row r="6" spans="1:8" x14ac:dyDescent="0.3">
      <c r="A6" s="109" t="s">
        <v>65</v>
      </c>
      <c r="B6" s="110"/>
      <c r="C6" s="111"/>
      <c r="D6" s="1" t="s">
        <v>17</v>
      </c>
      <c r="E6" s="2"/>
      <c r="F6" s="112" t="s">
        <v>18</v>
      </c>
      <c r="G6" s="113"/>
      <c r="H6" s="114"/>
    </row>
    <row r="7" spans="1:8" x14ac:dyDescent="0.3">
      <c r="A7" s="85" t="s">
        <v>66</v>
      </c>
      <c r="B7" s="86"/>
      <c r="C7" s="87"/>
      <c r="D7" s="115"/>
      <c r="E7" s="116"/>
      <c r="F7" s="117"/>
      <c r="G7" s="118"/>
      <c r="H7" s="119"/>
    </row>
    <row r="8" spans="1:8" x14ac:dyDescent="0.3">
      <c r="A8" s="99" t="s">
        <v>71</v>
      </c>
      <c r="B8" s="100"/>
      <c r="C8" s="101"/>
      <c r="D8" s="88" t="s">
        <v>20</v>
      </c>
      <c r="E8" s="90"/>
      <c r="F8" s="88" t="s">
        <v>19</v>
      </c>
      <c r="G8" s="90"/>
      <c r="H8" s="89"/>
    </row>
    <row r="9" spans="1:8" ht="14.4" customHeight="1" x14ac:dyDescent="0.3">
      <c r="A9" s="91" t="s">
        <v>56</v>
      </c>
      <c r="B9" s="92"/>
      <c r="C9" s="93"/>
      <c r="D9" s="94">
        <v>1</v>
      </c>
      <c r="E9" s="95"/>
      <c r="F9" s="96" t="s">
        <v>52</v>
      </c>
      <c r="G9" s="97"/>
      <c r="H9" s="98"/>
    </row>
    <row r="10" spans="1:8" x14ac:dyDescent="0.3">
      <c r="A10" s="80" t="s">
        <v>46</v>
      </c>
      <c r="B10" s="81"/>
      <c r="C10" s="82"/>
      <c r="D10" s="88" t="s">
        <v>21</v>
      </c>
      <c r="E10" s="89"/>
      <c r="F10" s="88" t="s">
        <v>53</v>
      </c>
      <c r="G10" s="90"/>
      <c r="H10" s="89"/>
    </row>
    <row r="11" spans="1:8" x14ac:dyDescent="0.3">
      <c r="A11" s="80" t="s">
        <v>47</v>
      </c>
      <c r="B11" s="81"/>
      <c r="C11" s="82"/>
      <c r="D11" s="83" t="s">
        <v>0</v>
      </c>
      <c r="E11" s="84"/>
      <c r="F11" s="85" t="s">
        <v>54</v>
      </c>
      <c r="G11" s="86"/>
      <c r="H11" s="87"/>
    </row>
    <row r="12" spans="1:8" x14ac:dyDescent="0.3">
      <c r="A12" s="80" t="s">
        <v>45</v>
      </c>
      <c r="B12" s="81"/>
      <c r="C12" s="82"/>
      <c r="D12" s="88" t="s">
        <v>22</v>
      </c>
      <c r="E12" s="89"/>
      <c r="F12" s="88" t="s">
        <v>34</v>
      </c>
      <c r="G12" s="90"/>
      <c r="H12" s="89"/>
    </row>
    <row r="13" spans="1:8" x14ac:dyDescent="0.3">
      <c r="A13" s="80" t="s">
        <v>55</v>
      </c>
      <c r="B13" s="81"/>
      <c r="C13" s="82"/>
      <c r="D13" s="83" t="s">
        <v>32</v>
      </c>
      <c r="E13" s="84"/>
      <c r="F13" s="85" t="s">
        <v>35</v>
      </c>
      <c r="G13" s="86"/>
      <c r="H13" s="87"/>
    </row>
    <row r="14" spans="1:8" x14ac:dyDescent="0.3">
      <c r="A14" s="35" t="s">
        <v>37</v>
      </c>
      <c r="B14" s="36"/>
      <c r="C14" s="37"/>
      <c r="D14" s="57" t="s">
        <v>33</v>
      </c>
      <c r="E14" s="34"/>
      <c r="F14" s="54" t="s">
        <v>41</v>
      </c>
      <c r="G14" s="54"/>
      <c r="H14" s="55"/>
    </row>
    <row r="15" spans="1:8" x14ac:dyDescent="0.3">
      <c r="A15" s="35" t="s">
        <v>39</v>
      </c>
      <c r="B15" s="36"/>
      <c r="C15" s="37"/>
      <c r="D15" s="38" t="s">
        <v>42</v>
      </c>
      <c r="E15" s="39"/>
      <c r="F15" s="39"/>
      <c r="G15" s="39"/>
      <c r="H15" s="40"/>
    </row>
    <row r="16" spans="1:8" ht="14.4" customHeight="1" x14ac:dyDescent="0.3">
      <c r="A16" s="3" t="s">
        <v>23</v>
      </c>
      <c r="B16" s="4" t="s">
        <v>24</v>
      </c>
      <c r="C16" s="4" t="s">
        <v>1</v>
      </c>
      <c r="D16" s="4" t="s">
        <v>25</v>
      </c>
      <c r="E16" s="4" t="s">
        <v>26</v>
      </c>
      <c r="F16" s="4" t="s">
        <v>27</v>
      </c>
      <c r="G16" s="4" t="s">
        <v>59</v>
      </c>
      <c r="H16" s="4" t="s">
        <v>28</v>
      </c>
    </row>
    <row r="17" spans="1:11" x14ac:dyDescent="0.3">
      <c r="A17" s="5">
        <v>1</v>
      </c>
      <c r="B17" s="5" t="s">
        <v>36</v>
      </c>
      <c r="C17" s="5">
        <v>7117</v>
      </c>
      <c r="D17" s="6">
        <v>2</v>
      </c>
      <c r="E17" s="6">
        <v>140</v>
      </c>
      <c r="F17" s="7"/>
      <c r="G17" s="7"/>
      <c r="H17" s="6">
        <f>(D17*E17)</f>
        <v>280</v>
      </c>
    </row>
    <row r="18" spans="1:11" x14ac:dyDescent="0.3">
      <c r="A18" s="5"/>
      <c r="B18" s="5"/>
      <c r="C18" s="5"/>
      <c r="D18" s="6">
        <v>0</v>
      </c>
      <c r="E18" s="6">
        <v>0</v>
      </c>
      <c r="F18" s="7"/>
      <c r="G18" s="7"/>
      <c r="H18" s="6">
        <f t="shared" ref="H18:H31" si="0">(D18*E18)</f>
        <v>0</v>
      </c>
    </row>
    <row r="19" spans="1:11" x14ac:dyDescent="0.3">
      <c r="A19" s="5"/>
      <c r="B19" s="5"/>
      <c r="C19" s="5"/>
      <c r="D19" s="6">
        <v>0</v>
      </c>
      <c r="E19" s="6">
        <v>0</v>
      </c>
      <c r="F19" s="7"/>
      <c r="G19" s="7"/>
      <c r="H19" s="6">
        <f t="shared" si="0"/>
        <v>0</v>
      </c>
    </row>
    <row r="20" spans="1:11" x14ac:dyDescent="0.3">
      <c r="A20" s="5"/>
      <c r="B20" s="5"/>
      <c r="C20" s="5"/>
      <c r="D20" s="6">
        <v>0</v>
      </c>
      <c r="E20" s="6">
        <v>0</v>
      </c>
      <c r="F20" s="7"/>
      <c r="G20" s="7"/>
      <c r="H20" s="6">
        <f t="shared" si="0"/>
        <v>0</v>
      </c>
    </row>
    <row r="21" spans="1:11" x14ac:dyDescent="0.3">
      <c r="A21" s="5"/>
      <c r="B21" s="5"/>
      <c r="C21" s="5"/>
      <c r="D21" s="6">
        <v>0</v>
      </c>
      <c r="E21" s="6">
        <v>0</v>
      </c>
      <c r="F21" s="7"/>
      <c r="G21" s="7"/>
      <c r="H21" s="6">
        <f t="shared" si="0"/>
        <v>0</v>
      </c>
    </row>
    <row r="22" spans="1:11" x14ac:dyDescent="0.3">
      <c r="A22" s="5"/>
      <c r="B22" s="79"/>
      <c r="C22" s="5"/>
      <c r="D22" s="6">
        <v>0</v>
      </c>
      <c r="E22" s="6">
        <v>0</v>
      </c>
      <c r="F22" s="7"/>
      <c r="G22" s="7"/>
      <c r="H22" s="6">
        <f t="shared" si="0"/>
        <v>0</v>
      </c>
    </row>
    <row r="23" spans="1:11" x14ac:dyDescent="0.3">
      <c r="A23" s="5"/>
      <c r="B23" s="79"/>
      <c r="C23" s="5"/>
      <c r="D23" s="6">
        <v>0</v>
      </c>
      <c r="E23" s="6">
        <v>0</v>
      </c>
      <c r="F23" s="7"/>
      <c r="G23" s="7"/>
      <c r="H23" s="6">
        <f t="shared" si="0"/>
        <v>0</v>
      </c>
    </row>
    <row r="24" spans="1:11" x14ac:dyDescent="0.3">
      <c r="A24" s="5"/>
      <c r="B24" s="56"/>
      <c r="C24" s="5"/>
      <c r="D24" s="6">
        <v>0</v>
      </c>
      <c r="E24" s="6">
        <v>0</v>
      </c>
      <c r="F24" s="7"/>
      <c r="G24" s="7"/>
      <c r="H24" s="6">
        <f t="shared" si="0"/>
        <v>0</v>
      </c>
    </row>
    <row r="25" spans="1:11" x14ac:dyDescent="0.3">
      <c r="A25" s="5"/>
      <c r="B25" s="56"/>
      <c r="C25" s="5"/>
      <c r="D25" s="6">
        <v>0</v>
      </c>
      <c r="E25" s="6">
        <v>0</v>
      </c>
      <c r="F25" s="7"/>
      <c r="G25" s="7"/>
      <c r="H25" s="6">
        <f t="shared" si="0"/>
        <v>0</v>
      </c>
    </row>
    <row r="26" spans="1:11" x14ac:dyDescent="0.3">
      <c r="A26" s="5"/>
      <c r="B26" s="56"/>
      <c r="C26" s="5"/>
      <c r="D26" s="6">
        <v>0</v>
      </c>
      <c r="E26" s="6">
        <v>0</v>
      </c>
      <c r="F26" s="7"/>
      <c r="G26" s="7"/>
      <c r="H26" s="6">
        <f t="shared" si="0"/>
        <v>0</v>
      </c>
    </row>
    <row r="27" spans="1:11" x14ac:dyDescent="0.3">
      <c r="A27" s="5"/>
      <c r="B27" s="56"/>
      <c r="C27" s="5"/>
      <c r="D27" s="6">
        <v>0</v>
      </c>
      <c r="E27" s="6">
        <v>0</v>
      </c>
      <c r="F27" s="7"/>
      <c r="G27" s="7"/>
      <c r="H27" s="6">
        <f t="shared" si="0"/>
        <v>0</v>
      </c>
    </row>
    <row r="28" spans="1:11" x14ac:dyDescent="0.3">
      <c r="A28" s="5"/>
      <c r="B28" s="56"/>
      <c r="C28" s="5"/>
      <c r="D28" s="6">
        <v>0</v>
      </c>
      <c r="E28" s="6">
        <v>0</v>
      </c>
      <c r="F28" s="7"/>
      <c r="G28" s="7"/>
      <c r="H28" s="6">
        <f t="shared" si="0"/>
        <v>0</v>
      </c>
    </row>
    <row r="29" spans="1:11" x14ac:dyDescent="0.3">
      <c r="A29" s="5"/>
      <c r="B29" s="56"/>
      <c r="C29" s="5"/>
      <c r="D29" s="6">
        <v>0</v>
      </c>
      <c r="E29" s="6">
        <v>0</v>
      </c>
      <c r="F29" s="7"/>
      <c r="G29" s="7"/>
      <c r="H29" s="6">
        <f t="shared" si="0"/>
        <v>0</v>
      </c>
    </row>
    <row r="30" spans="1:11" x14ac:dyDescent="0.3">
      <c r="A30" s="5"/>
      <c r="B30" s="56"/>
      <c r="C30" s="5"/>
      <c r="D30" s="6">
        <v>0</v>
      </c>
      <c r="E30" s="6">
        <v>0</v>
      </c>
      <c r="F30" s="7"/>
      <c r="G30" s="7"/>
      <c r="H30" s="6">
        <f t="shared" si="0"/>
        <v>0</v>
      </c>
    </row>
    <row r="31" spans="1:11" x14ac:dyDescent="0.3">
      <c r="A31" s="5"/>
      <c r="B31" s="5"/>
      <c r="C31" s="5"/>
      <c r="D31" s="6">
        <v>0</v>
      </c>
      <c r="E31" s="6">
        <v>0</v>
      </c>
      <c r="F31" s="7"/>
      <c r="G31" s="7"/>
      <c r="H31" s="6">
        <f t="shared" si="0"/>
        <v>0</v>
      </c>
    </row>
    <row r="32" spans="1:11" x14ac:dyDescent="0.3">
      <c r="A32" s="5"/>
      <c r="B32" s="53" t="s">
        <v>63</v>
      </c>
      <c r="C32" s="5"/>
      <c r="D32" s="5"/>
      <c r="E32" s="5"/>
      <c r="F32" s="5"/>
      <c r="G32" s="5"/>
      <c r="H32" s="6"/>
      <c r="K32" s="8"/>
    </row>
    <row r="33" spans="1:10" x14ac:dyDescent="0.3">
      <c r="A33" s="9"/>
      <c r="B33" s="10" t="s">
        <v>58</v>
      </c>
      <c r="C33" s="9"/>
      <c r="D33" s="11">
        <f>+D17</f>
        <v>2</v>
      </c>
      <c r="E33" s="11">
        <f>+E17</f>
        <v>140</v>
      </c>
      <c r="F33" s="12"/>
      <c r="G33" s="9"/>
      <c r="H33" s="11">
        <f>SUM(H17:H32)</f>
        <v>280</v>
      </c>
      <c r="J33" s="8"/>
    </row>
    <row r="34" spans="1:10" x14ac:dyDescent="0.3">
      <c r="A34" s="77" t="s">
        <v>57</v>
      </c>
      <c r="B34" s="78"/>
      <c r="C34" s="78"/>
      <c r="D34" s="78"/>
      <c r="E34" s="78"/>
      <c r="F34" s="78"/>
      <c r="G34" s="78"/>
      <c r="H34" s="13" t="s">
        <v>2</v>
      </c>
    </row>
    <row r="35" spans="1:10" x14ac:dyDescent="0.3">
      <c r="A35" s="59" t="s">
        <v>43</v>
      </c>
      <c r="B35" s="60"/>
      <c r="C35" s="60"/>
      <c r="D35" s="60"/>
      <c r="E35" s="60"/>
      <c r="F35" s="60"/>
      <c r="G35" s="60"/>
      <c r="H35" s="61"/>
    </row>
    <row r="36" spans="1:10" x14ac:dyDescent="0.3">
      <c r="A36" s="62" t="s">
        <v>74</v>
      </c>
      <c r="B36" s="63"/>
      <c r="C36" s="63"/>
      <c r="D36" s="63"/>
      <c r="E36" s="63"/>
      <c r="F36" s="63"/>
      <c r="G36" s="63"/>
      <c r="H36" s="64"/>
    </row>
    <row r="37" spans="1:10" x14ac:dyDescent="0.3">
      <c r="A37" s="74" t="s">
        <v>30</v>
      </c>
      <c r="B37" s="75"/>
      <c r="C37" s="75"/>
      <c r="D37" s="75"/>
      <c r="E37" s="75"/>
      <c r="F37" s="75"/>
      <c r="G37" s="75"/>
      <c r="H37" s="76"/>
    </row>
    <row r="38" spans="1:10" s="45" customFormat="1" ht="13.8" x14ac:dyDescent="0.3">
      <c r="A38" s="47" t="s">
        <v>62</v>
      </c>
      <c r="B38" s="48"/>
      <c r="C38" s="48"/>
      <c r="D38" s="48"/>
      <c r="E38" s="48"/>
      <c r="F38" s="48"/>
      <c r="G38" s="48"/>
      <c r="H38" s="49"/>
    </row>
    <row r="39" spans="1:10" x14ac:dyDescent="0.3">
      <c r="A39" s="50" t="s">
        <v>64</v>
      </c>
      <c r="B39" s="51"/>
      <c r="C39" s="51"/>
      <c r="D39" s="51"/>
      <c r="E39" s="51"/>
      <c r="F39" s="51"/>
      <c r="G39" s="51"/>
      <c r="H39" s="52"/>
    </row>
    <row r="40" spans="1:10" x14ac:dyDescent="0.3">
      <c r="A40" s="14" t="s">
        <v>50</v>
      </c>
      <c r="E40" s="65" t="s">
        <v>5</v>
      </c>
      <c r="F40" s="66"/>
      <c r="G40" s="66"/>
      <c r="H40" s="67"/>
    </row>
    <row r="41" spans="1:10" x14ac:dyDescent="0.3">
      <c r="A41" s="15" t="s">
        <v>51</v>
      </c>
      <c r="B41" s="43"/>
      <c r="C41" s="43"/>
      <c r="D41" s="44"/>
      <c r="E41" s="68"/>
      <c r="F41" s="69"/>
      <c r="G41" s="69"/>
      <c r="H41" s="70"/>
    </row>
    <row r="42" spans="1:10" x14ac:dyDescent="0.3">
      <c r="A42" s="16" t="s">
        <v>75</v>
      </c>
      <c r="B42" s="17"/>
      <c r="C42" s="17"/>
      <c r="D42" s="17"/>
      <c r="E42" s="71" t="s">
        <v>29</v>
      </c>
      <c r="F42" s="72"/>
      <c r="G42" s="72"/>
      <c r="H42" s="73"/>
    </row>
    <row r="43" spans="1:10" x14ac:dyDescent="0.3">
      <c r="A43" s="58" t="s">
        <v>48</v>
      </c>
      <c r="B43" s="58"/>
      <c r="C43" s="58"/>
      <c r="D43" s="58"/>
      <c r="E43" s="58"/>
      <c r="F43" s="58"/>
      <c r="G43" s="58"/>
      <c r="H43" s="58"/>
    </row>
    <row r="45" spans="1:10" x14ac:dyDescent="0.3">
      <c r="A45" s="42"/>
      <c r="B45" s="45"/>
      <c r="C45" s="45"/>
      <c r="D45" s="45"/>
      <c r="E45" s="45"/>
      <c r="F45" s="45"/>
      <c r="G45" s="45"/>
    </row>
    <row r="46" spans="1:10" x14ac:dyDescent="0.3">
      <c r="B46" s="46"/>
    </row>
  </sheetData>
  <mergeCells count="45">
    <mergeCell ref="A43:H43"/>
    <mergeCell ref="A13:C13"/>
    <mergeCell ref="D13:E13"/>
    <mergeCell ref="F13:H13"/>
    <mergeCell ref="B22:B23"/>
    <mergeCell ref="A34:G34"/>
    <mergeCell ref="A35:H35"/>
    <mergeCell ref="A36:H36"/>
    <mergeCell ref="A37:H37"/>
    <mergeCell ref="E40:H40"/>
    <mergeCell ref="E41:H41"/>
    <mergeCell ref="E42:H42"/>
    <mergeCell ref="A11:C11"/>
    <mergeCell ref="D11:E11"/>
    <mergeCell ref="F11:H11"/>
    <mergeCell ref="A12:C12"/>
    <mergeCell ref="D12:E12"/>
    <mergeCell ref="F12:H12"/>
    <mergeCell ref="A9:C9"/>
    <mergeCell ref="D9:E9"/>
    <mergeCell ref="F9:H9"/>
    <mergeCell ref="A10:C10"/>
    <mergeCell ref="D10:E10"/>
    <mergeCell ref="F10:H10"/>
    <mergeCell ref="A8:C8"/>
    <mergeCell ref="D8:E8"/>
    <mergeCell ref="F8:H8"/>
    <mergeCell ref="A4:C4"/>
    <mergeCell ref="D4:E4"/>
    <mergeCell ref="F4:H4"/>
    <mergeCell ref="A5:C5"/>
    <mergeCell ref="D5:E5"/>
    <mergeCell ref="F5:H5"/>
    <mergeCell ref="A6:C6"/>
    <mergeCell ref="F6:H6"/>
    <mergeCell ref="A7:C7"/>
    <mergeCell ref="D7:E7"/>
    <mergeCell ref="F7:H7"/>
    <mergeCell ref="A1:H1"/>
    <mergeCell ref="A2:C2"/>
    <mergeCell ref="D2:E2"/>
    <mergeCell ref="F2:H2"/>
    <mergeCell ref="A3:C3"/>
    <mergeCell ref="D3:E3"/>
    <mergeCell ref="F3:H3"/>
  </mergeCells>
  <pageMargins left="0" right="0" top="0" bottom="0" header="0" footer="0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K27" sqref="A1:XFD1048576"/>
    </sheetView>
  </sheetViews>
  <sheetFormatPr defaultRowHeight="14.4" x14ac:dyDescent="0.3"/>
  <cols>
    <col min="1" max="1" width="6.44140625" customWidth="1"/>
    <col min="2" max="2" width="10.33203125" customWidth="1"/>
    <col min="3" max="3" width="15.33203125" customWidth="1"/>
    <col min="4" max="4" width="26.33203125" customWidth="1"/>
    <col min="5" max="5" width="10.44140625" customWidth="1"/>
    <col min="7" max="7" width="17.5546875" customWidth="1"/>
    <col min="9" max="9" width="15" customWidth="1"/>
    <col min="10" max="10" width="15.6640625" customWidth="1"/>
  </cols>
  <sheetData>
    <row r="1" spans="1:11" ht="15" thickBot="1" x14ac:dyDescent="0.35"/>
    <row r="2" spans="1:11" x14ac:dyDescent="0.3">
      <c r="A2" s="128" t="s">
        <v>14</v>
      </c>
      <c r="B2" s="129"/>
      <c r="C2" s="129"/>
      <c r="D2" s="129"/>
      <c r="E2" s="129"/>
      <c r="F2" s="129"/>
      <c r="G2" s="129"/>
      <c r="H2" s="129"/>
      <c r="I2" s="129"/>
      <c r="J2" s="129"/>
      <c r="K2" s="130"/>
    </row>
    <row r="3" spans="1:11" ht="15" thickBot="1" x14ac:dyDescent="0.35">
      <c r="A3" s="131"/>
      <c r="B3" s="132"/>
      <c r="C3" s="132"/>
      <c r="D3" s="132"/>
      <c r="E3" s="132"/>
      <c r="F3" s="132"/>
      <c r="G3" s="132"/>
      <c r="H3" s="132"/>
      <c r="I3" s="132"/>
      <c r="J3" s="132"/>
      <c r="K3" s="133"/>
    </row>
    <row r="4" spans="1:11" ht="16.2" thickBot="1" x14ac:dyDescent="0.35">
      <c r="A4" s="31" t="s">
        <v>6</v>
      </c>
      <c r="B4" s="32" t="s">
        <v>7</v>
      </c>
      <c r="C4" s="32" t="s">
        <v>8</v>
      </c>
      <c r="D4" s="32" t="s">
        <v>9</v>
      </c>
      <c r="E4" s="32" t="s">
        <v>12</v>
      </c>
      <c r="F4" s="32" t="s">
        <v>13</v>
      </c>
      <c r="G4" s="32" t="s">
        <v>10</v>
      </c>
      <c r="H4" s="32" t="s">
        <v>11</v>
      </c>
      <c r="I4" s="32" t="s">
        <v>69</v>
      </c>
      <c r="J4" s="32" t="s">
        <v>70</v>
      </c>
      <c r="K4" s="33" t="s">
        <v>3</v>
      </c>
    </row>
    <row r="5" spans="1:11" x14ac:dyDescent="0.3">
      <c r="A5" s="28">
        <v>1</v>
      </c>
      <c r="B5" s="29" t="s">
        <v>15</v>
      </c>
      <c r="C5" s="29" t="s">
        <v>68</v>
      </c>
      <c r="D5" s="29" t="s">
        <v>16</v>
      </c>
      <c r="E5" s="29">
        <v>5407</v>
      </c>
      <c r="F5" s="29">
        <v>2</v>
      </c>
      <c r="G5" s="29" t="s">
        <v>0</v>
      </c>
      <c r="H5" s="29">
        <v>1940</v>
      </c>
      <c r="I5" s="29"/>
      <c r="J5" s="29"/>
      <c r="K5" s="30">
        <f>+H5+I5+J5</f>
        <v>1940</v>
      </c>
    </row>
    <row r="6" spans="1:11" x14ac:dyDescent="0.3">
      <c r="A6" s="28">
        <v>2</v>
      </c>
      <c r="B6" s="29" t="s">
        <v>77</v>
      </c>
      <c r="C6" s="29" t="s">
        <v>76</v>
      </c>
      <c r="D6" s="29" t="s">
        <v>16</v>
      </c>
      <c r="E6" s="12">
        <v>7117</v>
      </c>
      <c r="F6" s="29">
        <v>2</v>
      </c>
      <c r="G6" s="29" t="s">
        <v>0</v>
      </c>
      <c r="H6" s="12"/>
      <c r="I6" s="12"/>
      <c r="J6" s="12"/>
      <c r="K6" s="27"/>
    </row>
    <row r="7" spans="1:11" x14ac:dyDescent="0.3">
      <c r="A7" s="26"/>
      <c r="B7" s="12"/>
      <c r="C7" s="12"/>
      <c r="D7" s="12"/>
      <c r="E7" s="12"/>
      <c r="F7" s="12"/>
      <c r="G7" s="12"/>
      <c r="H7" s="12"/>
      <c r="I7" s="12"/>
      <c r="J7" s="12"/>
      <c r="K7" s="27"/>
    </row>
    <row r="8" spans="1:11" x14ac:dyDescent="0.3">
      <c r="A8" s="26"/>
      <c r="B8" s="12"/>
      <c r="C8" s="12"/>
      <c r="D8" s="12"/>
      <c r="E8" s="12"/>
      <c r="F8" s="12"/>
      <c r="G8" s="12"/>
      <c r="H8" s="12"/>
      <c r="I8" s="12"/>
      <c r="J8" s="12"/>
      <c r="K8" s="27"/>
    </row>
    <row r="9" spans="1:11" x14ac:dyDescent="0.3">
      <c r="A9" s="26"/>
      <c r="B9" s="12"/>
      <c r="C9" s="12"/>
      <c r="D9" s="12"/>
      <c r="E9" s="12"/>
      <c r="F9" s="12"/>
      <c r="G9" s="12"/>
      <c r="H9" s="12"/>
      <c r="I9" s="12"/>
      <c r="J9" s="12"/>
      <c r="K9" s="27"/>
    </row>
    <row r="10" spans="1:11" x14ac:dyDescent="0.3">
      <c r="A10" s="26"/>
      <c r="B10" s="12"/>
      <c r="C10" s="12"/>
      <c r="D10" s="12"/>
      <c r="E10" s="12"/>
      <c r="F10" s="12"/>
      <c r="G10" s="12"/>
      <c r="H10" s="12"/>
      <c r="I10" s="12"/>
      <c r="J10" s="12"/>
      <c r="K10" s="27"/>
    </row>
    <row r="11" spans="1:11" x14ac:dyDescent="0.3">
      <c r="A11" s="26"/>
      <c r="B11" s="12"/>
      <c r="C11" s="12"/>
      <c r="D11" s="12"/>
      <c r="E11" s="12"/>
      <c r="F11" s="12"/>
      <c r="G11" s="12"/>
      <c r="H11" s="12"/>
      <c r="I11" s="12"/>
      <c r="J11" s="12"/>
      <c r="K11" s="27"/>
    </row>
    <row r="12" spans="1:11" x14ac:dyDescent="0.3">
      <c r="A12" s="26"/>
      <c r="B12" s="12"/>
      <c r="C12" s="12"/>
      <c r="D12" s="12"/>
      <c r="E12" s="12"/>
      <c r="F12" s="12"/>
      <c r="G12" s="12"/>
      <c r="H12" s="12"/>
      <c r="I12" s="12"/>
      <c r="J12" s="12"/>
      <c r="K12" s="27"/>
    </row>
    <row r="13" spans="1:11" x14ac:dyDescent="0.3">
      <c r="A13" s="26"/>
      <c r="B13" s="12"/>
      <c r="C13" s="12"/>
      <c r="D13" s="12"/>
      <c r="E13" s="12"/>
      <c r="F13" s="12"/>
      <c r="G13" s="12"/>
      <c r="H13" s="12"/>
      <c r="I13" s="12"/>
      <c r="J13" s="12"/>
      <c r="K13" s="27"/>
    </row>
    <row r="14" spans="1:11" x14ac:dyDescent="0.3">
      <c r="A14" s="26"/>
      <c r="B14" s="12"/>
      <c r="C14" s="12"/>
      <c r="D14" s="12"/>
      <c r="E14" s="12"/>
      <c r="F14" s="12"/>
      <c r="G14" s="12"/>
      <c r="H14" s="12"/>
      <c r="I14" s="12"/>
      <c r="J14" s="12"/>
      <c r="K14" s="27"/>
    </row>
    <row r="15" spans="1:11" x14ac:dyDescent="0.3">
      <c r="A15" s="26"/>
      <c r="B15" s="12"/>
      <c r="C15" s="12"/>
      <c r="D15" s="12"/>
      <c r="E15" s="12"/>
      <c r="F15" s="12"/>
      <c r="G15" s="12"/>
      <c r="H15" s="12"/>
      <c r="I15" s="12"/>
      <c r="J15" s="12"/>
      <c r="K15" s="27"/>
    </row>
    <row r="16" spans="1:11" x14ac:dyDescent="0.3">
      <c r="A16" s="26"/>
      <c r="B16" s="12"/>
      <c r="C16" s="12"/>
      <c r="D16" s="12"/>
      <c r="E16" s="12"/>
      <c r="F16" s="12"/>
      <c r="G16" s="12"/>
      <c r="H16" s="12"/>
      <c r="I16" s="12"/>
      <c r="J16" s="12"/>
      <c r="K16" s="27"/>
    </row>
    <row r="17" spans="1:11" x14ac:dyDescent="0.3">
      <c r="A17" s="21"/>
      <c r="B17" s="9"/>
      <c r="C17" s="9"/>
      <c r="D17" s="9"/>
      <c r="E17" s="9"/>
      <c r="F17" s="9"/>
      <c r="G17" s="9"/>
      <c r="H17" s="9"/>
      <c r="I17" s="9"/>
      <c r="J17" s="9"/>
      <c r="K17" s="22"/>
    </row>
    <row r="18" spans="1:11" x14ac:dyDescent="0.3">
      <c r="A18" s="21"/>
      <c r="B18" s="9"/>
      <c r="C18" s="9"/>
      <c r="D18" s="9"/>
      <c r="E18" s="9"/>
      <c r="F18" s="9"/>
      <c r="G18" s="9"/>
      <c r="H18" s="9"/>
      <c r="I18" s="9"/>
      <c r="J18" s="9"/>
      <c r="K18" s="22"/>
    </row>
    <row r="19" spans="1:11" ht="15" thickBot="1" x14ac:dyDescent="0.35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5"/>
    </row>
  </sheetData>
  <mergeCells count="1">
    <mergeCell ref="A2:K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D5" sqref="D5"/>
    </sheetView>
  </sheetViews>
  <sheetFormatPr defaultRowHeight="14.4" x14ac:dyDescent="0.3"/>
  <cols>
    <col min="1" max="1" width="6.44140625" customWidth="1"/>
    <col min="2" max="2" width="10.33203125" customWidth="1"/>
    <col min="3" max="3" width="15.33203125" customWidth="1"/>
    <col min="4" max="4" width="26.33203125" customWidth="1"/>
    <col min="5" max="5" width="10.44140625" customWidth="1"/>
    <col min="7" max="7" width="17.5546875" customWidth="1"/>
    <col min="9" max="9" width="15" customWidth="1"/>
  </cols>
  <sheetData>
    <row r="1" spans="1:10" ht="15" thickBot="1" x14ac:dyDescent="0.35"/>
    <row r="2" spans="1:10" x14ac:dyDescent="0.3">
      <c r="A2" s="128" t="s">
        <v>78</v>
      </c>
      <c r="B2" s="129"/>
      <c r="C2" s="129"/>
      <c r="D2" s="129"/>
      <c r="E2" s="129"/>
      <c r="F2" s="129"/>
      <c r="G2" s="129"/>
      <c r="H2" s="129"/>
      <c r="I2" s="129"/>
      <c r="J2" s="130"/>
    </row>
    <row r="3" spans="1:10" ht="15" thickBot="1" x14ac:dyDescent="0.35">
      <c r="A3" s="131"/>
      <c r="B3" s="132"/>
      <c r="C3" s="132"/>
      <c r="D3" s="132"/>
      <c r="E3" s="132"/>
      <c r="F3" s="132"/>
      <c r="G3" s="132"/>
      <c r="H3" s="132"/>
      <c r="I3" s="132"/>
      <c r="J3" s="133"/>
    </row>
    <row r="4" spans="1:10" ht="16.2" thickBot="1" x14ac:dyDescent="0.35">
      <c r="A4" s="31" t="s">
        <v>6</v>
      </c>
      <c r="B4" s="32" t="s">
        <v>7</v>
      </c>
      <c r="C4" s="32" t="s">
        <v>8</v>
      </c>
      <c r="D4" s="32" t="s">
        <v>9</v>
      </c>
      <c r="E4" s="32" t="s">
        <v>12</v>
      </c>
      <c r="F4" s="32" t="s">
        <v>13</v>
      </c>
      <c r="G4" s="32" t="s">
        <v>10</v>
      </c>
      <c r="H4" s="32" t="s">
        <v>11</v>
      </c>
      <c r="I4" s="32" t="s">
        <v>69</v>
      </c>
      <c r="J4" s="33" t="s">
        <v>3</v>
      </c>
    </row>
    <row r="5" spans="1:10" x14ac:dyDescent="0.3">
      <c r="A5" s="28">
        <v>1</v>
      </c>
      <c r="B5" s="29" t="s">
        <v>15</v>
      </c>
      <c r="C5" s="29" t="s">
        <v>68</v>
      </c>
      <c r="D5" s="29" t="s">
        <v>16</v>
      </c>
      <c r="E5" s="29">
        <v>5407</v>
      </c>
      <c r="F5" s="29">
        <v>1</v>
      </c>
      <c r="G5" s="29" t="s">
        <v>0</v>
      </c>
      <c r="H5" s="29">
        <v>1000</v>
      </c>
      <c r="I5" s="134">
        <v>0.05</v>
      </c>
      <c r="J5" s="30">
        <f>H5*I5+H5</f>
        <v>1050</v>
      </c>
    </row>
    <row r="6" spans="1:10" x14ac:dyDescent="0.3">
      <c r="A6" s="28"/>
      <c r="B6" s="29"/>
      <c r="C6" s="29"/>
      <c r="D6" s="29"/>
      <c r="E6" s="12"/>
      <c r="F6" s="29"/>
      <c r="G6" s="29"/>
      <c r="H6" s="12"/>
      <c r="I6" s="12"/>
      <c r="J6" s="30">
        <f t="shared" ref="J6:J18" si="0">H6*I6+H6</f>
        <v>0</v>
      </c>
    </row>
    <row r="7" spans="1:10" x14ac:dyDescent="0.3">
      <c r="A7" s="26"/>
      <c r="B7" s="12"/>
      <c r="C7" s="12"/>
      <c r="D7" s="12"/>
      <c r="E7" s="12"/>
      <c r="F7" s="12"/>
      <c r="G7" s="12"/>
      <c r="H7" s="12"/>
      <c r="I7" s="12"/>
      <c r="J7" s="30">
        <f t="shared" si="0"/>
        <v>0</v>
      </c>
    </row>
    <row r="8" spans="1:10" x14ac:dyDescent="0.3">
      <c r="A8" s="26"/>
      <c r="B8" s="12"/>
      <c r="C8" s="12"/>
      <c r="D8" s="12"/>
      <c r="E8" s="12"/>
      <c r="F8" s="12"/>
      <c r="G8" s="12"/>
      <c r="H8" s="12"/>
      <c r="I8" s="12"/>
      <c r="J8" s="30">
        <f t="shared" si="0"/>
        <v>0</v>
      </c>
    </row>
    <row r="9" spans="1:10" x14ac:dyDescent="0.3">
      <c r="A9" s="26"/>
      <c r="B9" s="12"/>
      <c r="C9" s="12"/>
      <c r="D9" s="12"/>
      <c r="E9" s="12"/>
      <c r="F9" s="12"/>
      <c r="G9" s="12"/>
      <c r="H9" s="12"/>
      <c r="I9" s="12"/>
      <c r="J9" s="30">
        <f t="shared" si="0"/>
        <v>0</v>
      </c>
    </row>
    <row r="10" spans="1:10" x14ac:dyDescent="0.3">
      <c r="A10" s="26"/>
      <c r="B10" s="12"/>
      <c r="C10" s="12"/>
      <c r="D10" s="12"/>
      <c r="E10" s="12"/>
      <c r="F10" s="12"/>
      <c r="G10" s="12"/>
      <c r="H10" s="12"/>
      <c r="I10" s="12"/>
      <c r="J10" s="30">
        <f t="shared" si="0"/>
        <v>0</v>
      </c>
    </row>
    <row r="11" spans="1:10" x14ac:dyDescent="0.3">
      <c r="A11" s="26"/>
      <c r="B11" s="12"/>
      <c r="C11" s="12"/>
      <c r="D11" s="12"/>
      <c r="E11" s="12"/>
      <c r="F11" s="12"/>
      <c r="G11" s="12"/>
      <c r="H11" s="12"/>
      <c r="I11" s="12"/>
      <c r="J11" s="30">
        <f t="shared" si="0"/>
        <v>0</v>
      </c>
    </row>
    <row r="12" spans="1:10" x14ac:dyDescent="0.3">
      <c r="A12" s="26"/>
      <c r="B12" s="12"/>
      <c r="C12" s="12"/>
      <c r="D12" s="12"/>
      <c r="E12" s="12"/>
      <c r="F12" s="12"/>
      <c r="G12" s="12"/>
      <c r="H12" s="12"/>
      <c r="I12" s="12"/>
      <c r="J12" s="30">
        <f t="shared" si="0"/>
        <v>0</v>
      </c>
    </row>
    <row r="13" spans="1:10" x14ac:dyDescent="0.3">
      <c r="A13" s="26"/>
      <c r="B13" s="12"/>
      <c r="C13" s="12"/>
      <c r="D13" s="12"/>
      <c r="E13" s="12"/>
      <c r="F13" s="12"/>
      <c r="G13" s="12"/>
      <c r="H13" s="12"/>
      <c r="I13" s="12"/>
      <c r="J13" s="30">
        <f t="shared" si="0"/>
        <v>0</v>
      </c>
    </row>
    <row r="14" spans="1:10" x14ac:dyDescent="0.3">
      <c r="A14" s="26"/>
      <c r="B14" s="12"/>
      <c r="C14" s="12"/>
      <c r="D14" s="12"/>
      <c r="E14" s="12"/>
      <c r="F14" s="12"/>
      <c r="G14" s="12"/>
      <c r="H14" s="12"/>
      <c r="I14" s="12"/>
      <c r="J14" s="30">
        <f t="shared" si="0"/>
        <v>0</v>
      </c>
    </row>
    <row r="15" spans="1:10" x14ac:dyDescent="0.3">
      <c r="A15" s="26"/>
      <c r="B15" s="12"/>
      <c r="C15" s="12"/>
      <c r="D15" s="12"/>
      <c r="E15" s="12"/>
      <c r="F15" s="12"/>
      <c r="G15" s="12"/>
      <c r="H15" s="12"/>
      <c r="I15" s="12"/>
      <c r="J15" s="30">
        <f t="shared" si="0"/>
        <v>0</v>
      </c>
    </row>
    <row r="16" spans="1:10" x14ac:dyDescent="0.3">
      <c r="A16" s="26"/>
      <c r="B16" s="12"/>
      <c r="C16" s="12"/>
      <c r="D16" s="12"/>
      <c r="E16" s="12"/>
      <c r="F16" s="12"/>
      <c r="G16" s="12"/>
      <c r="H16" s="12"/>
      <c r="I16" s="12"/>
      <c r="J16" s="30">
        <f t="shared" si="0"/>
        <v>0</v>
      </c>
    </row>
    <row r="17" spans="1:10" x14ac:dyDescent="0.3">
      <c r="A17" s="21"/>
      <c r="B17" s="9"/>
      <c r="C17" s="9"/>
      <c r="D17" s="9"/>
      <c r="E17" s="9"/>
      <c r="F17" s="9"/>
      <c r="G17" s="9"/>
      <c r="H17" s="9"/>
      <c r="I17" s="9"/>
      <c r="J17" s="30">
        <f t="shared" si="0"/>
        <v>0</v>
      </c>
    </row>
    <row r="18" spans="1:10" x14ac:dyDescent="0.3">
      <c r="A18" s="21"/>
      <c r="B18" s="9"/>
      <c r="C18" s="9"/>
      <c r="D18" s="9"/>
      <c r="E18" s="9"/>
      <c r="F18" s="9"/>
      <c r="G18" s="9"/>
      <c r="H18" s="9"/>
      <c r="I18" s="9"/>
      <c r="J18" s="30">
        <f t="shared" si="0"/>
        <v>0</v>
      </c>
    </row>
    <row r="19" spans="1:10" ht="15" thickBot="1" x14ac:dyDescent="0.35">
      <c r="A19" s="23"/>
      <c r="B19" s="24"/>
      <c r="C19" s="24"/>
      <c r="D19" s="24"/>
      <c r="E19" s="24"/>
      <c r="F19" s="24"/>
      <c r="G19" s="24"/>
      <c r="H19" s="24"/>
      <c r="I19" s="24"/>
      <c r="J19" s="25"/>
    </row>
  </sheetData>
  <mergeCells count="1">
    <mergeCell ref="A2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4" sqref="G24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SAREE</vt:lpstr>
      <vt:lpstr>JWELLERY</vt:lpstr>
      <vt:lpstr>SALE SHEET</vt:lpstr>
      <vt:lpstr>SAREE SALE </vt:lpstr>
      <vt:lpstr>JWELLARY SALE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R ASSOCIATES</dc:creator>
  <cp:lastModifiedBy>SUDAM RAVALE</cp:lastModifiedBy>
  <cp:lastPrinted>2026-05-31T14:45:34Z</cp:lastPrinted>
  <dcterms:created xsi:type="dcterms:W3CDTF">2025-11-27T05:45:55Z</dcterms:created>
  <dcterms:modified xsi:type="dcterms:W3CDTF">2026-05-31T15:05:53Z</dcterms:modified>
</cp:coreProperties>
</file>